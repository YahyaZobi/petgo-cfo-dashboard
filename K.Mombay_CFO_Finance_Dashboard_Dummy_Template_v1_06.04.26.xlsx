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ahyazobi/Desktop/"/>
    </mc:Choice>
  </mc:AlternateContent>
  <xr:revisionPtr revIDLastSave="0" documentId="13_ncr:1_{4B2F5FB2-7EF8-0F44-9145-B0F9CD2D99CD}" xr6:coauthVersionLast="47" xr6:coauthVersionMax="47" xr10:uidLastSave="{00000000-0000-0000-0000-000000000000}"/>
  <bookViews>
    <workbookView xWindow="0" yWindow="660" windowWidth="30240" windowHeight="18980" tabRatio="872" activeTab="5" xr2:uid="{00000000-000D-0000-FFFF-FFFF00000000}"/>
  </bookViews>
  <sheets>
    <sheet name="1. Executive Summary" sheetId="1" r:id="rId1"/>
    <sheet name="2. P&amp;L Dashboard" sheetId="2" r:id="rId2"/>
    <sheet name="3. Cash Flow Dashboard" sheetId="3" r:id="rId3"/>
    <sheet name="4. AR_AP Dashboard" sheetId="4" r:id="rId4"/>
    <sheet name="5. Project Finance" sheetId="5" r:id="rId5"/>
    <sheet name="6. Strategic KP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</calcChain>
</file>

<file path=xl/sharedStrings.xml><?xml version="1.0" encoding="utf-8"?>
<sst xmlns="http://schemas.openxmlformats.org/spreadsheetml/2006/main" count="58" uniqueCount="54">
  <si>
    <t>Metric</t>
  </si>
  <si>
    <t>Current Month</t>
  </si>
  <si>
    <t>YTD</t>
  </si>
  <si>
    <t>Target</t>
  </si>
  <si>
    <t>Revenue</t>
  </si>
  <si>
    <t>EBITDA</t>
  </si>
  <si>
    <t>Net Profit</t>
  </si>
  <si>
    <t>Cash Position</t>
  </si>
  <si>
    <t>Working Capital</t>
  </si>
  <si>
    <t>Backlog</t>
  </si>
  <si>
    <t>Item</t>
  </si>
  <si>
    <t>Budget</t>
  </si>
  <si>
    <t>Actual</t>
  </si>
  <si>
    <t>Variance</t>
  </si>
  <si>
    <t>COGS</t>
  </si>
  <si>
    <t>Gross Margin %</t>
  </si>
  <si>
    <t>Operating Expenses</t>
  </si>
  <si>
    <t>Net Profit %</t>
  </si>
  <si>
    <t>Week</t>
  </si>
  <si>
    <t>Inflows</t>
  </si>
  <si>
    <t>Outflows</t>
  </si>
  <si>
    <t>Forecast Cash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</si>
  <si>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</si>
  <si>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</si>
  <si>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</si>
  <si>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</si>
  <si>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</si>
  <si>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</si>
  <si>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</si>
  <si>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</si>
  <si>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</si>
  <si>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</si>
  <si>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</si>
  <si>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</si>
  <si>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</si>
  <si>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KPI</t>
  </si>
  <si>
    <t>Value</t>
  </si>
  <si>
    <t>AR Aging &gt;90 Days</t>
  </si>
  <si>
    <t>AP Aging &gt;90 Days</t>
  </si>
  <si>
    <t>DSO</t>
  </si>
  <si>
    <t>DPO</t>
  </si>
  <si>
    <t>Collection Performance %</t>
  </si>
  <si>
    <t>Project</t>
  </si>
  <si>
    <t>WIP</t>
  </si>
  <si>
    <t>Project A</t>
  </si>
  <si>
    <t>Project B</t>
  </si>
  <si>
    <t>Project C</t>
  </si>
  <si>
    <t>Revenue Growth %</t>
  </si>
  <si>
    <t>Net Profit Margin %</t>
  </si>
  <si>
    <t>Return on Capital %</t>
  </si>
  <si>
    <t>Contract Backlog</t>
  </si>
  <si>
    <t>Bid-to-Win Ratio %</t>
  </si>
  <si>
    <t>Gross Margin Pct</t>
  </si>
  <si>
    <t>Forecast Completion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</si>
</sst>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</xdr:colOff>
      <xdr:row>0</xdr:row>
      <xdr:rowOff>0</xdr:rowOff>
    </xdr:from>
    <xdr:to>
      <xdr:col>8</xdr:col>
      <xdr:colOff>69946</xdr:colOff>
      <xdr:row>6</xdr:row>
      <xdr:rowOff>120713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2F743-4CF0-6093-9D35-AA1D73F61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850" y="0"/>
          <a:ext cx="1873346" cy="12256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6350</xdr:rowOff>
    </xdr:from>
    <xdr:to>
      <xdr:col>8</xdr:col>
      <xdr:colOff>577973</xdr:colOff>
      <xdr:row>5</xdr:row>
      <xdr:rowOff>6397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A701B-952F-7E6D-A4A9-1FDBAACE5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1500" y="6350"/>
          <a:ext cx="2387723" cy="9207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6350</xdr:rowOff>
    </xdr:from>
    <xdr:to>
      <xdr:col>9</xdr:col>
      <xdr:colOff>476398</xdr:colOff>
      <xdr:row>3</xdr:row>
      <xdr:rowOff>165137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95E8B-BAB7-2C8D-2A3B-A695EDA7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6500" y="6350"/>
          <a:ext cx="2876698" cy="7112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44450</xdr:colOff>
      <xdr:row>0</xdr:row>
      <xdr:rowOff>31750</xdr:rowOff>
    </xdr:from>
    <xdr:to>
      <xdr:col>6</xdr:col>
      <xdr:colOff>444615</xdr:colOff>
      <xdr:row>5</xdr:row>
      <xdr:rowOff>165154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B0C9B-FB00-8FE6-7EB4-03C165CC9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0" y="31750"/>
          <a:ext cx="2228965" cy="10541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9</xdr:col>
      <xdr:colOff>501770</xdr:colOff>
      <xdr:row>4</xdr:row>
      <xdr:rowOff>120694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F5E86-BEA4-024B-3087-1D9FF5ED2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6700" y="0"/>
          <a:ext cx="2330570" cy="8572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57150</xdr:rowOff>
    </xdr:from>
    <xdr:to>
      <xdr:col>6</xdr:col>
      <xdr:colOff>323960</xdr:colOff>
      <xdr:row>6</xdr:row>
      <xdr:rowOff>6404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45EF2-402C-9A80-1ED2-6C7923335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57150"/>
          <a:ext cx="2133710" cy="10541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46CD1-3DE8-174E-8F26-3CAD456D32BE}" name="Executive_Summary" displayName="Executive_Summary" ref="A1:D7" totalsRowShown="0" headerRowDxfId="5">
  <autoFilter ref="A1:D7" xr:uid="{63C46CD1-3DE8-174E-8F26-3CAD456D32BE}"/>
  <tableColumns count="4">
    <tableColumn id="1" xr3:uid="{B7B67E44-AC29-AF45-B730-3C77973DC92B}" name="Metric"/>
    <tableColumn id="2" xr3:uid="{C3E4E1B0-2C64-184B-AB57-BC62E8E94CB2}" name="Current Month"/>
    <tableColumn id="3" xr3:uid="{D4F1420E-8ACC-2B48-995B-C92B7A5B3B90}" name="YTD"/>
    <tableColumn id="4" xr3:uid="{A91EDCEF-E9B2-2649-99DF-3CD381AFCD96}" name="Tar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89978-EA8E-3D4E-A30C-71C932FDD502}" name="PnL" displayName="PnL" ref="A1:D6" totalsRowShown="0" headerRowDxfId="4">
  <autoFilter ref="A1:D6" xr:uid="{5DD89978-EA8E-3D4E-A30C-71C932FDD502}"/>
  <tableColumns count="4">
    <tableColumn id="1" xr3:uid="{21D2B34E-68BB-CF48-AA39-1A66F7B2F473}" name="Item"/>
    <tableColumn id="2" xr3:uid="{1D387570-8107-754E-B279-AE544C74A29B}" name="Budget"/>
    <tableColumn id="3" xr3:uid="{4F889D0C-FECC-E041-B8CB-0541D4FAC24A}" name="Actual"/>
    <tableColumn id="4" xr3:uid="{59081A6D-BA1F-994D-B91E-080727D69640}" name="Variance">
      <calculatedColumnFormula>C2-B2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936918-01B2-564C-BB84-4D2FB75A3C0E}" name="Cash_Flow" displayName="Cash_Flow" ref="A1:D14" totalsRowShown="0" headerRowDxfId="3">
  <autoFilter ref="A1:D14" xr:uid="{C5936918-01B2-564C-BB84-4D2FB75A3C0E}"/>
  <tableColumns count="4">
    <tableColumn id="1" xr3:uid="{F3750391-716B-614A-BF06-0F1E485499B3}" name="Week"/>
    <tableColumn id="2" xr3:uid="{93E643DF-E58D-6442-91C6-9F7BBB483172}" name="Inflows"/>
    <tableColumn id="3" xr3:uid="{ECCE695B-565D-EA47-BE48-AED926FEAA36}" name="Outflows"/>
    <tableColumn id="4" xr3:uid="{ECCAA4EA-2AAF-6544-92B2-293A0FD91886}" name="Forecast Cas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7553F9-CF5E-7348-856B-F31AE2E3DAB8}" name="AR_AP" displayName="AR_AP" ref="A1:B6" totalsRowShown="0" headerRowDxfId="2">
  <autoFilter ref="A1:B6" xr:uid="{007553F9-CF5E-7348-856B-F31AE2E3DAB8}"/>
  <tableColumns count="2">
    <tableColumn id="1" xr3:uid="{0731DCA8-EAF7-1F47-B2BC-C86D6889ACEF}" name="KPI"/>
    <tableColumn id="2" xr3:uid="{90AE01CF-C1BF-8540-BD01-7AA5180EED4A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A684A7-289E-5743-B605-E1EE68FA13AD}" name="Project_Finance" displayName="Project_Finance" ref="A1:E4" totalsRowShown="0" headerRowDxfId="1">
  <autoFilter ref="A1:E4" xr:uid="{29A684A7-289E-5743-B605-E1EE68FA13AD}"/>
  <tableColumns count="5">
    <tableColumn id="1" xr3:uid="{3FC1407E-78FA-C349-B747-E797EDA28F0D}" name="Project"/>
    <tableColumn id="2" xr3:uid="{425210F7-BFC0-9846-A2BD-9B8F0DBFB3CF}" name="Revenue"/>
    <tableColumn id="3" xr3:uid="{2BEC1988-D898-894B-B294-C517E9DC62BD}" name="Gross Margin Pct"/>
    <tableColumn id="4" xr3:uid="{1AC06FE0-D66A-6D46-BE80-16F4526B699A}" name="WIP"/>
    <tableColumn id="5" xr3:uid="{858BA51E-93BA-9546-BC51-159DA744EAC5}" name="Forecast Completion 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1409C8-3E91-E94C-934D-6132B2FBE1CD}" name="Strategic_KPI" displayName="Strategic_KPI" ref="A1:B6" totalsRowShown="0" headerRowDxfId="0">
  <autoFilter ref="A1:B6" xr:uid="{DD1409C8-3E91-E94C-934D-6132B2FBE1CD}"/>
  <tableColumns count="2">
    <tableColumn id="1" xr3:uid="{F52CAC1C-7183-BA45-9A1A-0907FC2833EA}" name="KPI"/>
    <tableColumn id="2" xr3:uid="{D7E6E6FC-8701-DE45-8B0A-7AC0BC25339A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624674-4739-7D44-8FAD-540A4045D5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d666a81-5a25-420b-8711-8b5b9b434d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25" customWidth="1"/>
    <col min="2" max="4" width="15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1250000</v>
      </c>
      <c r="C2">
        <v>7800000</v>
      </c>
      <c r="D2">
        <v>10000000</v>
      </c>
    </row>
    <row r="3" spans="1:4" x14ac:dyDescent="0.2">
      <c r="A3" t="s">
        <v>5</v>
      </c>
      <c r="B3">
        <v>220000</v>
      </c>
      <c r="C3">
        <v>1450000</v>
      </c>
      <c r="D3">
        <v>1800000</v>
      </c>
    </row>
    <row r="4" spans="1:4" x14ac:dyDescent="0.2">
      <c r="A4" t="s">
        <v>6</v>
      </c>
      <c r="B4">
        <v>150000</v>
      </c>
      <c r="C4">
        <v>980000</v>
      </c>
      <c r="D4">
        <v>1200000</v>
      </c>
    </row>
    <row r="5" spans="1:4" x14ac:dyDescent="0.2">
      <c r="A5" t="s">
        <v>7</v>
      </c>
      <c r="B5">
        <v>850000</v>
      </c>
      <c r="C5">
        <v>850000</v>
      </c>
      <c r="D5">
        <v>1000000</v>
      </c>
    </row>
    <row r="6" spans="1:4" x14ac:dyDescent="0.2">
      <c r="A6" t="s">
        <v>8</v>
      </c>
      <c r="B6">
        <v>1200000</v>
      </c>
      <c r="C6">
        <v>1200000</v>
      </c>
      <c r="D6">
        <v>1500000</v>
      </c>
    </row>
    <row r="7" spans="1:4" x14ac:dyDescent="0.2">
      <c r="A7" t="s">
        <v>9</v>
      </c>
      <c r="B7">
        <v>5200000</v>
      </c>
      <c r="C7">
        <v>5200000</v>
      </c>
      <c r="D7">
        <v>7000000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25" customWidth="1"/>
    <col min="2" max="4" width="15.6640625" customWidth="1"/>
  </cols>
  <sheetData>
    <row r="1" spans="1:4" x14ac:dyDescent="0.2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">
      <c r="A2" t="s">
        <v>4</v>
      </c>
      <c r="B2">
        <v>10000000</v>
      </c>
      <c r="C2">
        <v>9500000</v>
      </c>
      <c r="D2">
        <f>C2-B2</f>
        <v>-500000</v>
      </c>
    </row>
    <row r="3" spans="1:4" x14ac:dyDescent="0.2">
      <c r="A3" t="s">
        <v>14</v>
      </c>
      <c r="B3">
        <v>7000000</v>
      </c>
      <c r="C3">
        <v>6800000</v>
      </c>
      <c r="D3">
        <f>C3-B3</f>
        <v>-200000</v>
      </c>
    </row>
    <row r="4" spans="1:4" x14ac:dyDescent="0.2">
      <c r="A4" t="s">
        <v>15</v>
      </c>
      <c r="B4">
        <v>0.3</v>
      </c>
      <c r="C4">
        <v>0.28399999999999997</v>
      </c>
      <c r="D4">
        <f>C4-B4</f>
        <v>-1.6000000000000014E-2</v>
      </c>
    </row>
    <row r="5" spans="1:4" x14ac:dyDescent="0.2">
      <c r="A5" t="s">
        <v>16</v>
      </c>
      <c r="B5">
        <v>1800000</v>
      </c>
      <c r="C5">
        <v>1750000</v>
      </c>
      <c r="D5">
        <f>C5-B5</f>
        <v>-50000</v>
      </c>
    </row>
    <row r="6" spans="1:4" x14ac:dyDescent="0.2">
      <c r="A6" t="s">
        <v>17</v>
      </c>
      <c r="B6">
        <v>0.12</v>
      </c>
      <c r="C6">
        <v>0.105</v>
      </c>
      <c r="D6">
        <f>C6-B6</f>
        <v>-1.4999999999999999E-2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K24" sqref="K24"/>
    </sheetView>
  </sheetViews>
  <sheetFormatPr baseColWidth="10" defaultColWidth="8.83203125" defaultRowHeight="15" x14ac:dyDescent="0.2"/>
  <cols>
    <col min="1" max="4" width="15.6640625" customWidth="1"/>
  </cols>
  <sheetData>
    <row r="1" spans="1:4" x14ac:dyDescent="0.2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">
      <c r="A2" t="s">
        <v>22</v>
      </c>
      <c r="B2">
        <v>100000</v>
      </c>
      <c r="C2">
        <v>80000</v>
      </c>
      <c r="D2">
        <v>520000</v>
      </c>
    </row>
    <row r="3" spans="1:4" x14ac:dyDescent="0.2">
      <c r="A3" t="s">
        <v>23</v>
      </c>
      <c r="B3">
        <v>100000</v>
      </c>
      <c r="C3">
        <v>80000</v>
      </c>
      <c r="D3">
        <v>540000</v>
      </c>
    </row>
    <row r="4" spans="1:4" x14ac:dyDescent="0.2">
      <c r="A4" t="s">
        <v>24</v>
      </c>
      <c r="B4">
        <v>100000</v>
      </c>
      <c r="C4">
        <v>80000</v>
      </c>
      <c r="D4">
        <v>560000</v>
      </c>
    </row>
    <row r="5" spans="1:4" x14ac:dyDescent="0.2">
      <c r="A5" t="s">
        <v>25</v>
      </c>
      <c r="B5">
        <v>100000</v>
      </c>
      <c r="C5">
        <v>80000</v>
      </c>
      <c r="D5">
        <v>580000</v>
      </c>
    </row>
    <row r="6" spans="1:4" x14ac:dyDescent="0.2">
      <c r="A6" t="s">
        <v>26</v>
      </c>
      <c r="B6">
        <v>100000</v>
      </c>
      <c r="C6">
        <v>80000</v>
      </c>
      <c r="D6">
        <v>600000</v>
      </c>
    </row>
    <row r="7" spans="1:4" x14ac:dyDescent="0.2">
      <c r="A7" t="s">
        <v>27</v>
      </c>
      <c r="B7">
        <v>100000</v>
      </c>
      <c r="C7">
        <v>80000</v>
      </c>
      <c r="D7">
        <v>620000</v>
      </c>
    </row>
    <row r="8" spans="1:4" x14ac:dyDescent="0.2">
      <c r="A8" t="s">
        <v>28</v>
      </c>
      <c r="B8">
        <v>100000</v>
      </c>
      <c r="C8">
        <v>80000</v>
      </c>
      <c r="D8">
        <v>640000</v>
      </c>
    </row>
    <row r="9" spans="1:4" x14ac:dyDescent="0.2">
      <c r="A9" t="s">
        <v>29</v>
      </c>
      <c r="B9">
        <v>100000</v>
      </c>
      <c r="C9">
        <v>80000</v>
      </c>
      <c r="D9">
        <v>660000</v>
      </c>
    </row>
    <row r="10" spans="1:4" x14ac:dyDescent="0.2">
      <c r="A10" t="s">
        <v>30</v>
      </c>
      <c r="B10">
        <v>100000</v>
      </c>
      <c r="C10">
        <v>80000</v>
      </c>
      <c r="D10">
        <v>680000</v>
      </c>
    </row>
    <row r="11" spans="1:4" x14ac:dyDescent="0.2">
      <c r="A11" t="s">
        <v>31</v>
      </c>
      <c r="B11">
        <v>100000</v>
      </c>
      <c r="C11">
        <v>80000</v>
      </c>
      <c r="D11">
        <v>700000</v>
      </c>
    </row>
    <row r="12" spans="1:4" x14ac:dyDescent="0.2">
      <c r="A12" t="s">
        <v>32</v>
      </c>
      <c r="B12">
        <v>100000</v>
      </c>
      <c r="C12">
        <v>80000</v>
      </c>
      <c r="D12">
        <v>720000</v>
      </c>
    </row>
    <row r="13" spans="1:4" x14ac:dyDescent="0.2">
      <c r="A13" t="s">
        <v>33</v>
      </c>
      <c r="B13">
        <v>100000</v>
      </c>
      <c r="C13">
        <v>80000</v>
      </c>
      <c r="D13">
        <v>740000</v>
      </c>
    </row>
    <row r="14" spans="1:4" x14ac:dyDescent="0.2">
      <c r="A14" t="s">
        <v>34</v>
      </c>
      <c r="B14">
        <v>100000</v>
      </c>
      <c r="C14">
        <v>80000</v>
      </c>
      <c r="D14">
        <v>760000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25" customWidth="1"/>
    <col min="2" max="2" width="15.6640625" customWidth="1"/>
  </cols>
  <sheetData>
    <row r="1" spans="1:2" x14ac:dyDescent="0.2">
      <c r="A1" s="1" t="s">
        <v>35</v>
      </c>
      <c r="B1" s="1" t="s">
        <v>36</v>
      </c>
    </row>
    <row r="2" spans="1:2" x14ac:dyDescent="0.2">
      <c r="A2" t="s">
        <v>37</v>
      </c>
      <c r="B2">
        <v>250000</v>
      </c>
    </row>
    <row r="3" spans="1:2" x14ac:dyDescent="0.2">
      <c r="A3" t="s">
        <v>38</v>
      </c>
      <c r="B3">
        <v>150000</v>
      </c>
    </row>
    <row r="4" spans="1:2" x14ac:dyDescent="0.2">
      <c r="A4" t="s">
        <v>39</v>
      </c>
      <c r="B4">
        <v>65</v>
      </c>
    </row>
    <row r="5" spans="1:2" x14ac:dyDescent="0.2">
      <c r="A5" t="s">
        <v>40</v>
      </c>
      <c r="B5">
        <v>45</v>
      </c>
    </row>
    <row r="6" spans="1:2" x14ac:dyDescent="0.2">
      <c r="A6" t="s">
        <v>41</v>
      </c>
      <c r="B6">
        <v>92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20.6640625" customWidth="1"/>
    <col min="2" max="2" width="15.6640625" customWidth="1"/>
    <col min="3" max="3" width="16.33203125" customWidth="1"/>
    <col min="4" max="4" width="15.6640625" customWidth="1"/>
    <col min="5" max="5" width="22.33203125" customWidth="1"/>
  </cols>
  <sheetData>
    <row r="1" spans="1:5" x14ac:dyDescent="0.2">
      <c r="A1" s="1" t="s">
        <v>42</v>
      </c>
      <c r="B1" s="1" t="s">
        <v>4</v>
      </c>
      <c r="C1" s="1" t="s">
        <v>52</v>
      </c>
      <c r="D1" s="1" t="s">
        <v>43</v>
      </c>
      <c r="E1" s="1" t="s">
        <v>53</v>
      </c>
    </row>
    <row r="2" spans="1:5" x14ac:dyDescent="0.2">
      <c r="A2" t="s">
        <v>44</v>
      </c>
      <c r="B2">
        <v>2500000</v>
      </c>
      <c r="C2">
        <v>0.32</v>
      </c>
      <c r="D2">
        <v>200000</v>
      </c>
      <c r="E2">
        <v>85</v>
      </c>
    </row>
    <row r="3" spans="1:5" x14ac:dyDescent="0.2">
      <c r="A3" t="s">
        <v>45</v>
      </c>
      <c r="B3">
        <v>1800000</v>
      </c>
      <c r="C3">
        <v>0.28000000000000003</v>
      </c>
      <c r="D3">
        <v>150000</v>
      </c>
      <c r="E3">
        <v>70</v>
      </c>
    </row>
    <row r="4" spans="1:5" x14ac:dyDescent="0.2">
      <c r="A4" t="s">
        <v>46</v>
      </c>
      <c r="B4">
        <v>3200000</v>
      </c>
      <c r="C4">
        <v>0.35</v>
      </c>
      <c r="D4">
        <v>300000</v>
      </c>
      <c r="E4">
        <v>95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workbookViewId="0">
      <selection activeCell="K24" sqref="K24"/>
    </sheetView>
  </sheetViews>
  <sheetFormatPr baseColWidth="10" defaultColWidth="8.83203125" defaultRowHeight="15" x14ac:dyDescent="0.2"/>
  <cols>
    <col min="1" max="1" width="25" customWidth="1"/>
    <col min="2" max="2" width="15.6640625" customWidth="1"/>
  </cols>
  <sheetData>
    <row r="1" spans="1:2" x14ac:dyDescent="0.2">
      <c r="A1" s="1" t="s">
        <v>35</v>
      </c>
      <c r="B1" s="1" t="s">
        <v>36</v>
      </c>
    </row>
    <row r="2" spans="1:2" x14ac:dyDescent="0.2">
      <c r="A2" t="s">
        <v>47</v>
      </c>
      <c r="B2">
        <v>18</v>
      </c>
    </row>
    <row r="3" spans="1:2" x14ac:dyDescent="0.2">
      <c r="A3" t="s">
        <v>48</v>
      </c>
      <c r="B3">
        <v>10.5</v>
      </c>
    </row>
    <row r="4" spans="1:2" x14ac:dyDescent="0.2">
      <c r="A4" t="s">
        <v>49</v>
      </c>
      <c r="B4">
        <v>14</v>
      </c>
    </row>
    <row r="5" spans="1:2" x14ac:dyDescent="0.2">
      <c r="A5" t="s">
        <v>50</v>
      </c>
      <c r="B5">
        <v>5200000</v>
      </c>
    </row>
    <row r="6" spans="1:2" x14ac:dyDescent="0.2">
      <c r="A6" t="s">
        <v>51</v>
      </c>
      <c r="B6">
        <v>35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Executive Summary</vt:lpstr>
      <vt:lpstr>2. P&amp;L Dashboard</vt:lpstr>
      <vt:lpstr>3. Cash Flow Dashboard</vt:lpstr>
      <vt:lpstr>4. AR_AP Dashboard</vt:lpstr>
      <vt:lpstr>5. Project Finance</vt:lpstr>
      <vt:lpstr>6. Strategic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Yahya Zobi</cp:lastModifiedBy>
  <dcterms:created xsi:type="dcterms:W3CDTF">2026-06-04T14:13:32Z</dcterms:created>
  <dcterms:modified xsi:type="dcterms:W3CDTF">2026-06-21T22:25:21Z</dcterms:modified>
</cp:coreProperties>
</file>